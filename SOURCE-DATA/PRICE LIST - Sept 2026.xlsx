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VRUOTA OD POJ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with parking</t>
      </text>
    </comment>
    <comment authorId="0" ref="E17">
      <text>
        <t xml:space="preserve">cca</t>
      </text>
    </comment>
    <comment authorId="0" ref="F1">
      <text>
        <t xml:space="preserve">without parking</t>
      </text>
    </comment>
    <comment authorId="0" ref="E14">
      <text>
        <t xml:space="preserve">cca</t>
      </text>
    </comment>
    <comment authorId="0" ref="F14">
      <text>
        <t xml:space="preserve">fali balkon. cca 1.7m2 - dodao</t>
      </text>
    </comment>
    <comment authorId="0" ref="E9">
      <text>
        <t xml:space="preserve">greska u kvocijentu terase. +1.5m cca</t>
      </text>
    </comment>
  </commentList>
</comments>
</file>

<file path=xl/sharedStrings.xml><?xml version="1.0" encoding="utf-8"?>
<sst xmlns="http://schemas.openxmlformats.org/spreadsheetml/2006/main" count="34" uniqueCount="29">
  <si>
    <t>STATUS</t>
  </si>
  <si>
    <t>apt</t>
  </si>
  <si>
    <t>total m2 NETTO</t>
  </si>
  <si>
    <t>Indoor  m2 NETTO</t>
  </si>
  <si>
    <t>outdoor m2 NETTO</t>
  </si>
  <si>
    <t>outdoor m2 BRUTTO</t>
  </si>
  <si>
    <t>PARKING SPOTS</t>
  </si>
  <si>
    <t>parking m2 BRUTTO</t>
  </si>
  <si>
    <t>eur/m2</t>
  </si>
  <si>
    <t>final price</t>
  </si>
  <si>
    <t>low price</t>
  </si>
  <si>
    <t>EUR/m2</t>
  </si>
  <si>
    <t>PRICE</t>
  </si>
  <si>
    <t>EUR/m3</t>
  </si>
  <si>
    <t>70% deposit</t>
  </si>
  <si>
    <t>s1</t>
  </si>
  <si>
    <t>p1</t>
  </si>
  <si>
    <t>p2</t>
  </si>
  <si>
    <t>p3</t>
  </si>
  <si>
    <t>p4</t>
  </si>
  <si>
    <t>s2</t>
  </si>
  <si>
    <t>s3</t>
  </si>
  <si>
    <t>s4</t>
  </si>
  <si>
    <t>s5</t>
  </si>
  <si>
    <t>s6</t>
  </si>
  <si>
    <t>s7</t>
  </si>
  <si>
    <t>SOLD</t>
  </si>
  <si>
    <t>s8</t>
  </si>
  <si>
    <t>s9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</si>
</sst>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rgb="FFFFFFFF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i/>
      <color rgb="FF000000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</font>
    <font>
      <i/>
      <strike/>
      <color theme="1"/>
      <name val="Arial"/>
      <scheme val="minor"/>
    </font>
    <font>
      <b/>
      <i/>
      <strike/>
      <color theme="1"/>
      <name val="Arial"/>
      <scheme val="minor"/>
    </font>
    <font>
      <i/>
      <strike/>
      <color rgb="FF000000"/>
      <name val="Arial"/>
      <scheme val="minor"/>
    </font>
    <font>
      <b/>
      <i/>
      <strike/>
      <color rgb="FFFFFFFF"/>
      <name val="Arial"/>
      <scheme val="minor"/>
    </font>
    <font>
      <strike/>
      <color rgb="FF000000"/>
      <name val="Arial"/>
      <scheme val="minor"/>
    </font>
    <font>
      <strike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readingOrder="0" shrinkToFit="0" wrapText="1"/>
    </xf>
    <xf borderId="0" fillId="0" fontId="2" numFmtId="4" xfId="0" applyAlignment="1" applyFont="1" applyNumberFormat="1">
      <alignment horizontal="center" readingOrder="0" shrinkToFit="0" wrapText="1"/>
    </xf>
    <xf borderId="0" fillId="0" fontId="1" numFmtId="3" xfId="0" applyAlignment="1" applyFont="1" applyNumberFormat="1">
      <alignment horizontal="center" readingOrder="0" shrinkToFit="0" wrapText="1"/>
    </xf>
    <xf borderId="0" fillId="2" fontId="1" numFmtId="4" xfId="0" applyAlignment="1" applyFill="1" applyFont="1" applyNumberFormat="1">
      <alignment horizontal="center" readingOrder="0" shrinkToFit="0" wrapText="1"/>
    </xf>
    <xf borderId="0" fillId="0" fontId="1" numFmtId="4" xfId="0" applyAlignment="1" applyFont="1" applyNumberFormat="1">
      <alignment horizontal="center" shrinkToFit="0" wrapText="1"/>
    </xf>
    <xf borderId="0" fillId="3" fontId="3" numFmtId="4" xfId="0" applyAlignment="1" applyFill="1" applyFont="1" applyNumberFormat="1">
      <alignment horizontal="center" readingOrder="0" shrinkToFit="0" wrapText="1"/>
    </xf>
    <xf borderId="0" fillId="3" fontId="4" numFmtId="4" xfId="0" applyAlignment="1" applyFill="1" applyFont="1" applyNumberFormat="1">
      <alignment horizontal="center" readingOrder="0" shrinkToFit="0" wrapText="1"/>
    </xf>
    <xf borderId="0" fillId="0" fontId="1" numFmtId="3" xfId="0" applyAlignment="1" applyFont="1" applyNumberFormat="1">
      <alignment horizontal="center" readingOrder="0" shrinkToFit="0" wrapText="1"/>
    </xf>
    <xf borderId="0" fillId="0" fontId="2" numFmtId="3" xfId="0" applyAlignment="1" applyFont="1" applyNumberFormat="1">
      <alignment horizontal="center" readingOrder="0" shrinkToFit="0" wrapText="1"/>
    </xf>
    <xf borderId="0" fillId="2" fontId="1" numFmtId="3" xfId="0" applyAlignment="1" applyFill="1" applyFont="1" applyNumberFormat="1">
      <alignment horizontal="center" readingOrder="0" shrinkToFit="0" wrapText="1"/>
    </xf>
    <xf borderId="0" fillId="0" fontId="5" numFmtId="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3" xfId="0" applyAlignment="1" applyFont="1" applyNumberFormat="1">
      <alignment horizontal="center"/>
    </xf>
    <xf borderId="0" fillId="2" fontId="5" numFmtId="0" xfId="0" applyAlignment="1" applyFill="1" applyFont="1">
      <alignment horizontal="center"/>
    </xf>
    <xf borderId="0" fillId="3" fontId="6" numFmtId="0" xfId="0" applyAlignment="1" applyFill="1" applyFont="1">
      <alignment horizontal="center"/>
    </xf>
    <xf borderId="0" fillId="3" fontId="5" numFmtId="4" xfId="0" applyAlignment="1" applyFill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7" numFmtId="3" xfId="0" applyAlignment="1" applyFont="1" applyNumberFormat="1">
      <alignment horizontal="center"/>
    </xf>
    <xf borderId="0" fillId="2" fontId="5" numFmtId="3" xfId="0" applyAlignment="1" applyFill="1" applyFont="1" applyNumberFormat="1">
      <alignment horizontal="center"/>
    </xf>
    <xf borderId="0" fillId="3" fontId="5" numFmtId="3" xfId="0" applyAlignment="1" applyFill="1" applyFont="1" applyNumberFormat="1">
      <alignment horizontal="center" readingOrder="0"/>
    </xf>
    <xf borderId="0" fillId="3" fontId="1" numFmtId="4" xfId="0" applyAlignment="1" applyFill="1" applyFont="1" applyNumberFormat="1">
      <alignment horizontal="center" readingOrder="0"/>
    </xf>
    <xf borderId="0" fillId="3" fontId="2" numFmtId="4" xfId="0" applyAlignment="1" applyFill="1" applyFont="1" applyNumberFormat="1">
      <alignment horizontal="center" readingOrder="0"/>
    </xf>
    <xf borderId="0" fillId="3" fontId="1" numFmtId="3" xfId="0" applyAlignment="1" applyFill="1" applyFont="1" applyNumberFormat="1">
      <alignment horizontal="center" readingOrder="0"/>
    </xf>
    <xf borderId="0" fillId="2" fontId="1" numFmtId="4" xfId="0" applyAlignment="1" applyFill="1" applyFont="1" applyNumberFormat="1">
      <alignment horizontal="center" readingOrder="0"/>
    </xf>
    <xf borderId="0" fillId="3" fontId="5" numFmtId="4" xfId="0" applyAlignment="1" applyFill="1" applyFont="1" applyNumberFormat="1">
      <alignment horizontal="center" readingOrder="0"/>
    </xf>
    <xf borderId="0" fillId="3" fontId="6" numFmtId="4" xfId="0" applyAlignment="1" applyFill="1" applyFont="1" applyNumberFormat="1">
      <alignment horizontal="center"/>
    </xf>
    <xf borderId="0" fillId="3" fontId="6" numFmtId="4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4" fontId="8" numFmtId="3" xfId="0" applyAlignment="1" applyFill="1" applyFont="1" applyNumberFormat="1">
      <alignment horizontal="center" readingOrder="0"/>
    </xf>
    <xf borderId="0" fillId="4" fontId="1" numFmtId="3" xfId="0" applyAlignment="1" applyFill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3" fontId="9" numFmtId="4" xfId="0" applyAlignment="1" applyFill="1" applyFont="1" applyNumberFormat="1">
      <alignment horizontal="center" readingOrder="0"/>
    </xf>
    <xf borderId="0" fillId="4" fontId="8" numFmtId="3" xfId="0" applyAlignment="1" applyFill="1" applyFont="1" applyNumberFormat="1">
      <alignment horizontal="center"/>
    </xf>
    <xf borderId="0" fillId="4" fontId="1" numFmtId="3" xfId="0" applyAlignment="1" applyFill="1" applyFont="1" applyNumberFormat="1">
      <alignment horizontal="center"/>
    </xf>
    <xf borderId="0" fillId="3" fontId="2" numFmtId="4" xfId="0" applyAlignment="1" applyFill="1" applyFont="1" applyNumberFormat="1">
      <alignment horizontal="center"/>
    </xf>
    <xf borderId="0" fillId="3" fontId="1" numFmtId="4" xfId="0" applyAlignment="1" applyFill="1" applyFont="1" applyNumberFormat="1">
      <alignment horizontal="center"/>
    </xf>
    <xf borderId="0" fillId="2" fontId="1" numFmtId="4" xfId="0" applyAlignment="1" applyFill="1" applyFont="1" applyNumberFormat="1">
      <alignment horizontal="center"/>
    </xf>
    <xf borderId="0" fillId="3" fontId="4" numFmtId="3" xfId="0" applyAlignment="1" applyFill="1" applyFont="1" applyNumberFormat="1">
      <alignment horizontal="center" readingOrder="0"/>
    </xf>
    <xf borderId="0" fillId="3" fontId="10" numFmtId="4" xfId="0" applyAlignment="1" applyFill="1" applyFont="1" applyNumberFormat="1">
      <alignment horizontal="center" readingOrder="0"/>
    </xf>
    <xf borderId="0" fillId="3" fontId="11" numFmtId="4" xfId="0" applyAlignment="1" applyFill="1" applyFont="1" applyNumberFormat="1">
      <alignment horizontal="center" readingOrder="0"/>
    </xf>
    <xf borderId="0" fillId="3" fontId="10" numFmtId="3" xfId="0" applyAlignment="1" applyFill="1" applyFont="1" applyNumberFormat="1">
      <alignment horizontal="center" readingOrder="0"/>
    </xf>
    <xf borderId="0" fillId="2" fontId="10" numFmtId="4" xfId="0" applyAlignment="1" applyFill="1" applyFont="1" applyNumberFormat="1">
      <alignment horizontal="center" readingOrder="0"/>
    </xf>
    <xf borderId="0" fillId="3" fontId="12" numFmtId="4" xfId="0" applyAlignment="1" applyFill="1" applyFont="1" applyNumberFormat="1">
      <alignment horizontal="center" readingOrder="0"/>
    </xf>
    <xf borderId="0" fillId="3" fontId="12" numFmtId="4" xfId="0" applyAlignment="1" applyFill="1" applyFont="1" applyNumberFormat="1">
      <alignment horizontal="center"/>
    </xf>
    <xf borderId="0" fillId="0" fontId="10" numFmtId="3" xfId="0" applyAlignment="1" applyFont="1" applyNumberFormat="1">
      <alignment horizontal="center" readingOrder="0"/>
    </xf>
    <xf borderId="0" fillId="4" fontId="13" numFmtId="3" xfId="0" applyAlignment="1" applyFill="1" applyFont="1" applyNumberFormat="1">
      <alignment horizontal="center" readingOrder="0"/>
    </xf>
    <xf borderId="0" fillId="4" fontId="10" numFmtId="3" xfId="0" applyAlignment="1" applyFill="1" applyFont="1" applyNumberFormat="1">
      <alignment horizontal="center" readingOrder="0"/>
    </xf>
    <xf borderId="0" fillId="3" fontId="12" numFmtId="3" xfId="0" applyAlignment="1" applyFill="1" applyFont="1" applyNumberFormat="1">
      <alignment horizontal="center" readingOrder="0"/>
    </xf>
    <xf borderId="0" fillId="3" fontId="14" numFmtId="3" xfId="0" applyAlignment="1" applyFill="1" applyFont="1" applyNumberFormat="1">
      <alignment horizontal="center" readingOrder="0"/>
    </xf>
    <xf borderId="0" fillId="0" fontId="15" numFmtId="3" xfId="0" applyAlignment="1" applyFont="1" applyNumberFormat="1">
      <alignment horizontal="center" readingOrder="0"/>
    </xf>
    <xf borderId="0" fillId="0" fontId="10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7.13"/>
    <col customWidth="1" min="3" max="4" width="10.63"/>
    <col customWidth="1" hidden="1" min="5" max="5" width="10.63"/>
    <col customWidth="1" min="6" max="8" width="10.63"/>
    <col customWidth="1" min="9" max="9" width="0.38"/>
    <col customWidth="1" hidden="1" min="10" max="10" width="7.38"/>
    <col customWidth="1" hidden="1" min="11" max="11" width="8.38"/>
    <col customWidth="1" hidden="1" min="12" max="12" width="10.75"/>
    <col customWidth="1" hidden="1" min="13" max="13" width="8.63"/>
    <col customWidth="1" hidden="1" min="14" max="14" width="10.63"/>
    <col customWidth="1" min="15" max="15" width="7.5"/>
    <col customWidth="1" min="16" max="16" width="10.75"/>
    <col customWidth="1" min="17" max="17" width="0.38"/>
    <col customWidth="1" hidden="1" min="18" max="22" width="1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/>
      <c r="J1" s="5"/>
      <c r="K1" s="6" t="s">
        <v>8</v>
      </c>
      <c r="L1" s="6" t="s">
        <v>9</v>
      </c>
      <c r="M1" s="7" t="s">
        <v>8</v>
      </c>
      <c r="N1" s="7" t="s">
        <v>10</v>
      </c>
      <c r="O1" s="8" t="s">
        <v>11</v>
      </c>
      <c r="P1" s="9" t="s">
        <v>12</v>
      </c>
      <c r="Q1" s="10"/>
      <c r="R1" s="8" t="s">
        <v>11</v>
      </c>
      <c r="S1" s="8" t="s">
        <v>12</v>
      </c>
      <c r="T1" s="8" t="s">
        <v>13</v>
      </c>
      <c r="U1" s="8" t="s">
        <v>12</v>
      </c>
      <c r="V1" s="1" t="s">
        <v>14</v>
      </c>
    </row>
    <row r="2">
      <c r="A2" s="11"/>
      <c r="B2" s="11"/>
      <c r="C2" s="12"/>
      <c r="D2" s="12"/>
      <c r="E2" s="12"/>
      <c r="F2" s="12"/>
      <c r="G2" s="13"/>
      <c r="H2" s="12"/>
      <c r="I2" s="14"/>
      <c r="J2" s="12"/>
      <c r="K2" s="15"/>
      <c r="L2" s="15"/>
      <c r="M2" s="16"/>
      <c r="N2" s="16"/>
      <c r="O2" s="17"/>
      <c r="P2" s="18"/>
      <c r="Q2" s="19"/>
      <c r="R2" s="20"/>
      <c r="S2" s="17"/>
      <c r="T2" s="20"/>
      <c r="U2" s="17"/>
      <c r="V2" s="11"/>
    </row>
    <row r="3">
      <c r="A3" s="21"/>
      <c r="B3" s="21" t="s">
        <v>15</v>
      </c>
      <c r="C3" s="22">
        <v>57.35</v>
      </c>
      <c r="D3" s="21">
        <v>44.16</v>
      </c>
      <c r="E3" s="21">
        <v>13.19</v>
      </c>
      <c r="F3" s="21">
        <v>94.91</v>
      </c>
      <c r="G3" s="23">
        <v>1.0</v>
      </c>
      <c r="H3" s="21">
        <v>18.5</v>
      </c>
      <c r="I3" s="24"/>
      <c r="J3" s="25"/>
      <c r="K3" s="26">
        <f t="shared" ref="K3:K7" si="1">L3/C3</f>
        <v>4882.301656</v>
      </c>
      <c r="L3" s="27">
        <v>280000.0</v>
      </c>
      <c r="M3" s="25">
        <f t="shared" ref="M3:M7" si="2">N3/C3</f>
        <v>3487.358326</v>
      </c>
      <c r="N3" s="25">
        <v>200000.0</v>
      </c>
      <c r="O3" s="28">
        <f t="shared" ref="O3:O7" si="3">P3/C3</f>
        <v>4969.485615</v>
      </c>
      <c r="P3" s="29">
        <v>285000.0</v>
      </c>
      <c r="Q3" s="30"/>
      <c r="R3" s="20">
        <v>4000.0</v>
      </c>
      <c r="S3" s="28">
        <f t="shared" ref="S3:S7" si="4">R3*C3</f>
        <v>229400</v>
      </c>
      <c r="T3" s="20">
        <v>5000.0</v>
      </c>
      <c r="U3" s="28">
        <f t="shared" ref="U3:U7" si="5">T3*C3</f>
        <v>286750</v>
      </c>
      <c r="V3" s="31">
        <f t="shared" ref="V3:V17" si="6">S3*0.7</f>
        <v>160580</v>
      </c>
    </row>
    <row r="4">
      <c r="A4" s="21"/>
      <c r="B4" s="21" t="s">
        <v>16</v>
      </c>
      <c r="C4" s="22">
        <v>65.12</v>
      </c>
      <c r="D4" s="21">
        <v>47.2</v>
      </c>
      <c r="E4" s="21">
        <v>17.92</v>
      </c>
      <c r="F4" s="21">
        <v>82.49</v>
      </c>
      <c r="G4" s="23">
        <v>1.0</v>
      </c>
      <c r="H4" s="21">
        <v>12.0</v>
      </c>
      <c r="I4" s="24"/>
      <c r="J4" s="25"/>
      <c r="K4" s="26">
        <f t="shared" si="1"/>
        <v>3531.941032</v>
      </c>
      <c r="L4" s="27">
        <v>230000.0</v>
      </c>
      <c r="M4" s="25">
        <f t="shared" si="2"/>
        <v>3071.253071</v>
      </c>
      <c r="N4" s="25">
        <v>200000.0</v>
      </c>
      <c r="O4" s="28">
        <f t="shared" si="3"/>
        <v>4914.004914</v>
      </c>
      <c r="P4" s="29">
        <v>320000.0</v>
      </c>
      <c r="Q4" s="30"/>
      <c r="R4" s="20">
        <v>4000.0</v>
      </c>
      <c r="S4" s="28">
        <f t="shared" si="4"/>
        <v>260480</v>
      </c>
      <c r="T4" s="20">
        <v>5000.0</v>
      </c>
      <c r="U4" s="28">
        <f t="shared" si="5"/>
        <v>325600</v>
      </c>
      <c r="V4" s="31">
        <f t="shared" si="6"/>
        <v>182336</v>
      </c>
    </row>
    <row r="5">
      <c r="A5" s="21"/>
      <c r="B5" s="21" t="s">
        <v>17</v>
      </c>
      <c r="C5" s="22">
        <v>66.3</v>
      </c>
      <c r="D5" s="21">
        <v>47.56</v>
      </c>
      <c r="E5" s="21">
        <v>18.74</v>
      </c>
      <c r="F5" s="21">
        <v>61.16</v>
      </c>
      <c r="G5" s="23">
        <v>1.0</v>
      </c>
      <c r="H5" s="21">
        <v>12.0</v>
      </c>
      <c r="I5" s="24"/>
      <c r="J5" s="25"/>
      <c r="K5" s="26">
        <f t="shared" si="1"/>
        <v>3469.07994</v>
      </c>
      <c r="L5" s="27">
        <v>230000.0</v>
      </c>
      <c r="M5" s="25">
        <f t="shared" si="2"/>
        <v>3016.591252</v>
      </c>
      <c r="N5" s="25">
        <v>200000.0</v>
      </c>
      <c r="O5" s="28">
        <f t="shared" si="3"/>
        <v>4901.960784</v>
      </c>
      <c r="P5" s="29">
        <v>325000.0</v>
      </c>
      <c r="Q5" s="30"/>
      <c r="R5" s="20">
        <v>4500.0</v>
      </c>
      <c r="S5" s="28">
        <f t="shared" si="4"/>
        <v>298350</v>
      </c>
      <c r="T5" s="20">
        <v>5000.0</v>
      </c>
      <c r="U5" s="28">
        <f t="shared" si="5"/>
        <v>331500</v>
      </c>
      <c r="V5" s="31">
        <f t="shared" si="6"/>
        <v>208845</v>
      </c>
    </row>
    <row r="6">
      <c r="A6" s="21"/>
      <c r="B6" s="21" t="s">
        <v>18</v>
      </c>
      <c r="C6" s="22">
        <v>131.04</v>
      </c>
      <c r="D6" s="21">
        <v>95.09</v>
      </c>
      <c r="E6" s="21">
        <v>35.95</v>
      </c>
      <c r="F6" s="21">
        <v>131.68</v>
      </c>
      <c r="G6" s="23">
        <v>2.0</v>
      </c>
      <c r="H6" s="21">
        <v>24.0</v>
      </c>
      <c r="I6" s="24"/>
      <c r="J6" s="25"/>
      <c r="K6" s="26">
        <f t="shared" si="1"/>
        <v>2976.190476</v>
      </c>
      <c r="L6" s="27">
        <v>390000.0</v>
      </c>
      <c r="M6" s="25">
        <f t="shared" si="2"/>
        <v>3014.346764</v>
      </c>
      <c r="N6" s="25">
        <v>395000.0</v>
      </c>
      <c r="O6" s="28">
        <f t="shared" si="3"/>
        <v>4502.442002</v>
      </c>
      <c r="P6" s="29">
        <v>590000.0</v>
      </c>
      <c r="Q6" s="30"/>
      <c r="R6" s="20">
        <v>4500.0</v>
      </c>
      <c r="S6" s="28">
        <f t="shared" si="4"/>
        <v>589680</v>
      </c>
      <c r="T6" s="20">
        <v>5000.0</v>
      </c>
      <c r="U6" s="28">
        <f t="shared" si="5"/>
        <v>655200</v>
      </c>
      <c r="V6" s="31">
        <f t="shared" si="6"/>
        <v>412776</v>
      </c>
    </row>
    <row r="7">
      <c r="A7" s="21"/>
      <c r="B7" s="21" t="s">
        <v>19</v>
      </c>
      <c r="C7" s="22">
        <v>56.53</v>
      </c>
      <c r="D7" s="21">
        <v>43.89</v>
      </c>
      <c r="E7" s="32">
        <v>12.64</v>
      </c>
      <c r="F7" s="21">
        <v>102.48</v>
      </c>
      <c r="G7" s="23">
        <v>1.0</v>
      </c>
      <c r="H7" s="32">
        <v>12.0</v>
      </c>
      <c r="I7" s="24"/>
      <c r="J7" s="25"/>
      <c r="K7" s="26">
        <f t="shared" si="1"/>
        <v>4422.430568</v>
      </c>
      <c r="L7" s="27">
        <v>250000.0</v>
      </c>
      <c r="M7" s="25">
        <f t="shared" si="2"/>
        <v>4245.533345</v>
      </c>
      <c r="N7" s="25">
        <v>240000.0</v>
      </c>
      <c r="O7" s="28">
        <f t="shared" si="3"/>
        <v>4953.122236</v>
      </c>
      <c r="P7" s="29">
        <v>280000.0</v>
      </c>
      <c r="Q7" s="30"/>
      <c r="R7" s="20">
        <v>4900.0</v>
      </c>
      <c r="S7" s="28">
        <f t="shared" si="4"/>
        <v>276997</v>
      </c>
      <c r="T7" s="20">
        <v>5000.0</v>
      </c>
      <c r="U7" s="28">
        <f t="shared" si="5"/>
        <v>282650</v>
      </c>
      <c r="V7" s="31">
        <f t="shared" si="6"/>
        <v>193897.9</v>
      </c>
    </row>
    <row r="8">
      <c r="A8" s="21"/>
      <c r="B8" s="21"/>
      <c r="C8" s="22"/>
      <c r="D8" s="21"/>
      <c r="E8" s="21"/>
      <c r="F8" s="21"/>
      <c r="G8" s="23"/>
      <c r="H8" s="21"/>
      <c r="I8" s="24"/>
      <c r="J8" s="25"/>
      <c r="K8" s="26"/>
      <c r="L8" s="27"/>
      <c r="M8" s="25"/>
      <c r="N8" s="16"/>
      <c r="O8" s="28"/>
      <c r="P8" s="33"/>
      <c r="Q8" s="34"/>
      <c r="R8" s="20"/>
      <c r="S8" s="28"/>
      <c r="T8" s="20"/>
      <c r="U8" s="28"/>
      <c r="V8" s="31">
        <f t="shared" si="6"/>
        <v>0</v>
      </c>
    </row>
    <row r="9">
      <c r="A9" s="21"/>
      <c r="B9" s="21" t="s">
        <v>20</v>
      </c>
      <c r="C9" s="22">
        <v>49.2</v>
      </c>
      <c r="D9" s="21">
        <v>40.3</v>
      </c>
      <c r="E9" s="21">
        <v>8.8</v>
      </c>
      <c r="F9" s="21">
        <v>11.31</v>
      </c>
      <c r="G9" s="23">
        <v>1.0</v>
      </c>
      <c r="H9" s="21">
        <v>12.0</v>
      </c>
      <c r="I9" s="24"/>
      <c r="J9" s="25"/>
      <c r="K9" s="26">
        <f t="shared" ref="K9:K12" si="7">L9/C9</f>
        <v>4065.04065</v>
      </c>
      <c r="L9" s="27">
        <v>200000.0</v>
      </c>
      <c r="M9" s="25">
        <f t="shared" ref="M9:M12" si="8">N9/C9</f>
        <v>3556.910569</v>
      </c>
      <c r="N9" s="25">
        <v>175000.0</v>
      </c>
      <c r="O9" s="28">
        <f t="shared" ref="O9:O12" si="9">P9/C9</f>
        <v>4878.04878</v>
      </c>
      <c r="P9" s="29">
        <v>240000.0</v>
      </c>
      <c r="Q9" s="30"/>
      <c r="R9" s="20">
        <v>4900.0</v>
      </c>
      <c r="S9" s="28">
        <f t="shared" ref="S9:S12" si="10">R9*C9</f>
        <v>241080</v>
      </c>
      <c r="T9" s="20">
        <v>5000.0</v>
      </c>
      <c r="U9" s="28">
        <f t="shared" ref="U9:U12" si="11">T9*C9</f>
        <v>246000</v>
      </c>
      <c r="V9" s="31">
        <f t="shared" si="6"/>
        <v>168756</v>
      </c>
    </row>
    <row r="10">
      <c r="A10" s="21"/>
      <c r="B10" s="21" t="s">
        <v>21</v>
      </c>
      <c r="C10" s="22">
        <v>104.36</v>
      </c>
      <c r="D10" s="21">
        <v>77.48</v>
      </c>
      <c r="E10" s="21">
        <v>26.88</v>
      </c>
      <c r="F10" s="21">
        <v>29.45</v>
      </c>
      <c r="G10" s="23">
        <v>2.0</v>
      </c>
      <c r="H10" s="21">
        <v>24.0</v>
      </c>
      <c r="I10" s="24"/>
      <c r="J10" s="25"/>
      <c r="K10" s="26">
        <f t="shared" si="7"/>
        <v>3257.953239</v>
      </c>
      <c r="L10" s="27">
        <v>340000.0</v>
      </c>
      <c r="M10" s="25">
        <f t="shared" si="8"/>
        <v>3066.308931</v>
      </c>
      <c r="N10" s="25">
        <v>320000.0</v>
      </c>
      <c r="O10" s="28">
        <f t="shared" si="9"/>
        <v>4120.352626</v>
      </c>
      <c r="P10" s="29">
        <v>430000.0</v>
      </c>
      <c r="Q10" s="30"/>
      <c r="R10" s="20">
        <v>4500.0</v>
      </c>
      <c r="S10" s="28">
        <f t="shared" si="10"/>
        <v>469620</v>
      </c>
      <c r="T10" s="20">
        <v>5000.0</v>
      </c>
      <c r="U10" s="28">
        <f t="shared" si="11"/>
        <v>521800</v>
      </c>
      <c r="V10" s="31">
        <f t="shared" si="6"/>
        <v>328734</v>
      </c>
    </row>
    <row r="11">
      <c r="A11" s="21"/>
      <c r="B11" s="21" t="s">
        <v>22</v>
      </c>
      <c r="C11" s="22">
        <v>113.53</v>
      </c>
      <c r="D11" s="21">
        <v>85.89</v>
      </c>
      <c r="E11" s="21">
        <v>27.64</v>
      </c>
      <c r="F11" s="21">
        <v>31.59</v>
      </c>
      <c r="G11" s="23">
        <v>2.0</v>
      </c>
      <c r="H11" s="21">
        <v>24.0</v>
      </c>
      <c r="I11" s="24"/>
      <c r="J11" s="25"/>
      <c r="K11" s="26">
        <f t="shared" si="7"/>
        <v>3170.968026</v>
      </c>
      <c r="L11" s="27">
        <v>360000.0</v>
      </c>
      <c r="M11" s="25">
        <f t="shared" si="8"/>
        <v>3082.885581</v>
      </c>
      <c r="N11" s="25">
        <v>350000.0</v>
      </c>
      <c r="O11" s="28">
        <f t="shared" si="9"/>
        <v>4051.792478</v>
      </c>
      <c r="P11" s="29">
        <v>460000.0</v>
      </c>
      <c r="Q11" s="30"/>
      <c r="R11" s="20">
        <v>4500.0</v>
      </c>
      <c r="S11" s="28">
        <f t="shared" si="10"/>
        <v>510885</v>
      </c>
      <c r="T11" s="20">
        <v>5000.0</v>
      </c>
      <c r="U11" s="28">
        <f t="shared" si="11"/>
        <v>567650</v>
      </c>
      <c r="V11" s="31">
        <f t="shared" si="6"/>
        <v>357619.5</v>
      </c>
    </row>
    <row r="12">
      <c r="A12" s="21"/>
      <c r="B12" s="21" t="s">
        <v>23</v>
      </c>
      <c r="C12" s="22">
        <v>37.29</v>
      </c>
      <c r="D12" s="21">
        <v>31.63</v>
      </c>
      <c r="E12" s="21">
        <v>6.65</v>
      </c>
      <c r="F12" s="21">
        <v>9.29</v>
      </c>
      <c r="G12" s="23">
        <v>1.0</v>
      </c>
      <c r="H12" s="21">
        <v>12.0</v>
      </c>
      <c r="I12" s="24"/>
      <c r="J12" s="16"/>
      <c r="K12" s="26">
        <f t="shared" si="7"/>
        <v>4022.526146</v>
      </c>
      <c r="L12" s="27">
        <v>150000.0</v>
      </c>
      <c r="M12" s="25">
        <f t="shared" si="8"/>
        <v>3218.020917</v>
      </c>
      <c r="N12" s="25">
        <v>120000.0</v>
      </c>
      <c r="O12" s="28">
        <f t="shared" si="9"/>
        <v>4961.115581</v>
      </c>
      <c r="P12" s="29">
        <v>185000.0</v>
      </c>
      <c r="Q12" s="30"/>
      <c r="R12" s="20">
        <v>4900.0</v>
      </c>
      <c r="S12" s="28">
        <f t="shared" si="10"/>
        <v>182721</v>
      </c>
      <c r="T12" s="20">
        <v>5000.0</v>
      </c>
      <c r="U12" s="28">
        <f t="shared" si="11"/>
        <v>186450</v>
      </c>
      <c r="V12" s="31">
        <f t="shared" si="6"/>
        <v>127904.7</v>
      </c>
    </row>
    <row r="13">
      <c r="A13" s="21"/>
      <c r="B13" s="21"/>
      <c r="C13" s="35"/>
      <c r="D13" s="21"/>
      <c r="E13" s="36"/>
      <c r="F13" s="36"/>
      <c r="G13" s="23"/>
      <c r="H13" s="36"/>
      <c r="I13" s="37"/>
      <c r="J13" s="16"/>
      <c r="K13" s="26"/>
      <c r="L13" s="26"/>
      <c r="M13" s="25"/>
      <c r="N13" s="16"/>
      <c r="O13" s="28"/>
      <c r="P13" s="33"/>
      <c r="Q13" s="34"/>
      <c r="R13" s="38">
        <f>R12</f>
        <v>4900</v>
      </c>
      <c r="S13" s="28"/>
      <c r="T13" s="20"/>
      <c r="U13" s="28"/>
      <c r="V13" s="31">
        <f t="shared" si="6"/>
        <v>0</v>
      </c>
    </row>
    <row r="14">
      <c r="A14" s="21"/>
      <c r="B14" s="21" t="s">
        <v>24</v>
      </c>
      <c r="C14" s="22">
        <v>45.9</v>
      </c>
      <c r="D14" s="21">
        <v>39.64</v>
      </c>
      <c r="E14" s="21">
        <v>5.9</v>
      </c>
      <c r="F14" s="21">
        <v>5.2</v>
      </c>
      <c r="G14" s="23">
        <v>1.0</v>
      </c>
      <c r="H14" s="21">
        <v>12.0</v>
      </c>
      <c r="I14" s="24"/>
      <c r="J14" s="16"/>
      <c r="K14" s="26">
        <f t="shared" ref="K14:K17" si="12">L14/C14</f>
        <v>4357.298475</v>
      </c>
      <c r="L14" s="27">
        <v>200000.0</v>
      </c>
      <c r="M14" s="25">
        <f t="shared" ref="M14:M17" si="13">N14/C14</f>
        <v>3812.636166</v>
      </c>
      <c r="N14" s="25">
        <v>175000.0</v>
      </c>
      <c r="O14" s="28">
        <f t="shared" ref="O14:O17" si="14">P14/C14</f>
        <v>4901.960784</v>
      </c>
      <c r="P14" s="29">
        <v>225000.0</v>
      </c>
      <c r="Q14" s="30"/>
      <c r="R14" s="20">
        <v>4900.0</v>
      </c>
      <c r="S14" s="28">
        <f t="shared" ref="S14:S17" si="15">R14*C14</f>
        <v>224910</v>
      </c>
      <c r="T14" s="20">
        <v>5000.0</v>
      </c>
      <c r="U14" s="28">
        <f t="shared" ref="U14:U17" si="16">T14*C14</f>
        <v>229500</v>
      </c>
      <c r="V14" s="31">
        <f t="shared" si="6"/>
        <v>157437</v>
      </c>
    </row>
    <row r="15">
      <c r="A15" s="21"/>
      <c r="B15" s="21" t="s">
        <v>25</v>
      </c>
      <c r="C15" s="22">
        <v>91.91</v>
      </c>
      <c r="D15" s="21">
        <v>77.48</v>
      </c>
      <c r="E15" s="21">
        <v>14.43</v>
      </c>
      <c r="F15" s="21">
        <v>27.56</v>
      </c>
      <c r="G15" s="23">
        <v>2.0</v>
      </c>
      <c r="H15" s="21">
        <v>24.0</v>
      </c>
      <c r="I15" s="24"/>
      <c r="J15" s="25"/>
      <c r="K15" s="26">
        <f t="shared" si="12"/>
        <v>4188.880427</v>
      </c>
      <c r="L15" s="27">
        <v>385000.0</v>
      </c>
      <c r="M15" s="25">
        <f t="shared" si="13"/>
        <v>3361.98455</v>
      </c>
      <c r="N15" s="25">
        <v>309000.0</v>
      </c>
      <c r="O15" s="28">
        <f t="shared" si="14"/>
        <v>4569.687738</v>
      </c>
      <c r="P15" s="29">
        <v>420000.0</v>
      </c>
      <c r="Q15" s="30"/>
      <c r="R15" s="20">
        <v>4000.0</v>
      </c>
      <c r="S15" s="28">
        <f t="shared" si="15"/>
        <v>367640</v>
      </c>
      <c r="T15" s="20">
        <v>5000.0</v>
      </c>
      <c r="U15" s="28">
        <f t="shared" si="16"/>
        <v>459550</v>
      </c>
      <c r="V15" s="31">
        <f t="shared" si="6"/>
        <v>257348</v>
      </c>
    </row>
    <row r="16">
      <c r="A16" s="39" t="s">
        <v>26</v>
      </c>
      <c r="B16" s="39" t="s">
        <v>27</v>
      </c>
      <c r="C16" s="40">
        <v>100.19</v>
      </c>
      <c r="D16" s="39">
        <v>85.85</v>
      </c>
      <c r="E16" s="39">
        <v>14.34</v>
      </c>
      <c r="F16" s="39">
        <v>27.29</v>
      </c>
      <c r="G16" s="41">
        <v>2.0</v>
      </c>
      <c r="H16" s="39">
        <v>24.0</v>
      </c>
      <c r="I16" s="42"/>
      <c r="J16" s="43"/>
      <c r="K16" s="44">
        <f t="shared" si="12"/>
        <v>3892.604052</v>
      </c>
      <c r="L16" s="43">
        <v>390000.0</v>
      </c>
      <c r="M16" s="43">
        <f t="shared" si="13"/>
        <v>3283.760854</v>
      </c>
      <c r="N16" s="43">
        <v>329000.0</v>
      </c>
      <c r="O16" s="45">
        <f t="shared" si="14"/>
        <v>4192.035133</v>
      </c>
      <c r="P16" s="46">
        <v>420000.0</v>
      </c>
      <c r="Q16" s="47"/>
      <c r="R16" s="48">
        <v>4000.0</v>
      </c>
      <c r="S16" s="45">
        <f t="shared" si="15"/>
        <v>400760</v>
      </c>
      <c r="T16" s="49">
        <v>5000.0</v>
      </c>
      <c r="U16" s="50">
        <f t="shared" si="16"/>
        <v>500950</v>
      </c>
      <c r="V16" s="51">
        <f t="shared" si="6"/>
        <v>280532</v>
      </c>
    </row>
    <row r="17">
      <c r="A17" s="39" t="s">
        <v>26</v>
      </c>
      <c r="B17" s="39" t="s">
        <v>28</v>
      </c>
      <c r="C17" s="40">
        <v>35.9</v>
      </c>
      <c r="D17" s="39">
        <v>29.99</v>
      </c>
      <c r="E17" s="39">
        <v>5.9</v>
      </c>
      <c r="F17" s="39">
        <v>5.64</v>
      </c>
      <c r="G17" s="41">
        <v>1.0</v>
      </c>
      <c r="H17" s="39">
        <v>12.0</v>
      </c>
      <c r="I17" s="42"/>
      <c r="J17" s="43"/>
      <c r="K17" s="44">
        <f t="shared" si="12"/>
        <v>4178.272981</v>
      </c>
      <c r="L17" s="43">
        <v>150000.0</v>
      </c>
      <c r="M17" s="43">
        <f t="shared" si="13"/>
        <v>3593.314763</v>
      </c>
      <c r="N17" s="43">
        <v>129000.0</v>
      </c>
      <c r="O17" s="45">
        <f t="shared" si="14"/>
        <v>4874.651811</v>
      </c>
      <c r="P17" s="46">
        <v>175000.0</v>
      </c>
      <c r="Q17" s="47"/>
      <c r="R17" s="48">
        <v>4900.0</v>
      </c>
      <c r="S17" s="45">
        <f t="shared" si="15"/>
        <v>175910</v>
      </c>
      <c r="T17" s="49">
        <v>5000.0</v>
      </c>
      <c r="U17" s="50">
        <f t="shared" si="16"/>
        <v>179500</v>
      </c>
      <c r="V17" s="51">
        <f t="shared" si="6"/>
        <v>123137</v>
      </c>
    </row>
  </sheetData>
  <printOptions gridLines="1" horizontalCentered="1"/>
  <pageMargins bottom="0.75" footer="0.0" header="0.0" left="0.7" right="0.7" top="0.75"/>
  <pageSetup paperSize="9" scale="90" cellComments="atEnd" orientation="landscape" pageOrder="overThenDown"/>
  <drawing r:id="rId2"/>
  <legacyDrawing r:id="rId3"/>
</worksheet>
</file>